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\Downloads\"/>
    </mc:Choice>
  </mc:AlternateContent>
  <xr:revisionPtr revIDLastSave="0" documentId="13_ncr:1_{90635D7B-1ADB-42FC-84F1-2D570D0C7E70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20" i="1" l="1"/>
  <c r="Y19" i="1"/>
  <c r="Y18" i="1"/>
  <c r="Y17" i="1"/>
  <c r="Y16" i="1"/>
  <c r="Y13" i="1"/>
  <c r="Y14" i="1"/>
  <c r="Y15" i="1"/>
  <c r="Y11" i="1"/>
  <c r="Y12" i="1"/>
  <c r="G9" i="1"/>
  <c r="J9" i="1" s="1"/>
  <c r="M9" i="1" s="1"/>
  <c r="P9" i="1" s="1"/>
  <c r="S9" i="1" s="1"/>
  <c r="V9" i="1" s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Y21" i="1" l="1"/>
</calcChain>
</file>

<file path=xl/sharedStrings.xml><?xml version="1.0" encoding="utf-8"?>
<sst xmlns="http://schemas.openxmlformats.org/spreadsheetml/2006/main" count="61" uniqueCount="37">
  <si>
    <t>UPH</t>
  </si>
  <si>
    <t>Cycle Count</t>
  </si>
  <si>
    <t>Relocate</t>
  </si>
  <si>
    <t>Monday</t>
  </si>
  <si>
    <t>Tuesday</t>
  </si>
  <si>
    <t>Wednesday</t>
  </si>
  <si>
    <t>Thursday</t>
  </si>
  <si>
    <t>Friday</t>
  </si>
  <si>
    <t>Saturday</t>
  </si>
  <si>
    <t>Sunday</t>
  </si>
  <si>
    <t>A</t>
  </si>
  <si>
    <t>B</t>
  </si>
  <si>
    <t>C</t>
  </si>
  <si>
    <t>De-Stocking I</t>
  </si>
  <si>
    <t>System Count</t>
  </si>
  <si>
    <t>Projects</t>
  </si>
  <si>
    <t>IR Count</t>
  </si>
  <si>
    <t>IR Count:</t>
  </si>
  <si>
    <t>Inventory reconcile count in order to adjust the variance and put system records in-line with the real scenario.</t>
  </si>
  <si>
    <t>System Count:</t>
  </si>
  <si>
    <t>System ticked count that generated periodically by the system.</t>
  </si>
  <si>
    <t>Cycle Count:</t>
  </si>
  <si>
    <t>Planned count of the inventory in the warehouse.</t>
  </si>
  <si>
    <t>LTM I</t>
  </si>
  <si>
    <t>LTM II</t>
  </si>
  <si>
    <t>LTM:</t>
  </si>
  <si>
    <t>Long-tail movement. Putting slow moving inventories to the rack location and making space for the fast moving inventories to the easily accessible locations.</t>
  </si>
  <si>
    <t>UPH:</t>
  </si>
  <si>
    <t>Unit per hour. A key performance indicator (KPI) to measure the performance.</t>
  </si>
  <si>
    <t>Note</t>
  </si>
  <si>
    <t>Total</t>
  </si>
  <si>
    <t>Operational Capacity (Units)</t>
  </si>
  <si>
    <t>Stock Check</t>
  </si>
  <si>
    <t>Type</t>
  </si>
  <si>
    <t>No Schedule</t>
  </si>
  <si>
    <t>Manual Entry</t>
  </si>
  <si>
    <t>Operational Capacity 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</si>
</sst>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180">
        <stop position="0">
          <color theme="0"/>
        </stop>
        <stop position="1">
          <color theme="2" tint="-0.49803155613879818"/>
        </stop>
      </gradient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ck">
        <color theme="6"/>
      </right>
      <top/>
      <bottom style="thin">
        <color theme="6"/>
      </bottom>
      <diagonal/>
    </border>
    <border>
      <left/>
      <right style="thick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double">
        <color theme="6"/>
      </bottom>
      <diagonal/>
    </border>
    <border>
      <left/>
      <right style="thick">
        <color theme="6"/>
      </right>
      <top style="thin">
        <color theme="6"/>
      </top>
      <bottom style="double">
        <color theme="6"/>
      </bottom>
      <diagonal/>
    </border>
    <border>
      <left/>
      <right/>
      <top/>
      <bottom style="thin">
        <color auto="1"/>
      </bottom>
      <diagonal/>
    </border>
    <border>
      <left style="double">
        <color theme="6"/>
      </left>
      <right/>
      <top style="double">
        <color theme="6"/>
      </top>
      <bottom/>
      <diagonal/>
    </border>
    <border>
      <left/>
      <right/>
      <top style="double">
        <color theme="6"/>
      </top>
      <bottom/>
      <diagonal/>
    </border>
    <border>
      <left/>
      <right style="medium">
        <color theme="6"/>
      </right>
      <top style="double">
        <color theme="6"/>
      </top>
      <bottom/>
      <diagonal/>
    </border>
    <border>
      <left style="double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double">
        <color theme="6"/>
      </left>
      <right/>
      <top/>
      <bottom style="thin">
        <color auto="1"/>
      </bottom>
      <diagonal/>
    </border>
    <border>
      <left style="double">
        <color theme="6"/>
      </left>
      <right/>
      <top style="thin">
        <color indexed="64"/>
      </top>
      <bottom style="thin">
        <color indexed="64"/>
      </bottom>
      <diagonal/>
    </border>
    <border>
      <left style="double">
        <color theme="6"/>
      </left>
      <right/>
      <top/>
      <bottom style="thin">
        <color theme="6"/>
      </bottom>
      <diagonal/>
    </border>
    <border>
      <left/>
      <right style="medium">
        <color theme="6"/>
      </right>
      <top/>
      <bottom style="thin">
        <color theme="6"/>
      </bottom>
      <diagonal/>
    </border>
    <border>
      <left style="double">
        <color theme="6"/>
      </left>
      <right/>
      <top style="thin">
        <color theme="6"/>
      </top>
      <bottom style="thin">
        <color theme="6"/>
      </bottom>
      <diagonal/>
    </border>
    <border>
      <left/>
      <right style="medium">
        <color theme="6"/>
      </right>
      <top style="thin">
        <color theme="6"/>
      </top>
      <bottom style="thin">
        <color theme="6"/>
      </bottom>
      <diagonal/>
    </border>
    <border>
      <left style="double">
        <color theme="6"/>
      </left>
      <right/>
      <top style="thin">
        <color theme="6"/>
      </top>
      <bottom style="double">
        <color theme="6"/>
      </bottom>
      <diagonal/>
    </border>
    <border>
      <left/>
      <right style="medium">
        <color theme="6"/>
      </right>
      <top style="thin">
        <color theme="6"/>
      </top>
      <bottom style="double">
        <color theme="6"/>
      </bottom>
      <diagonal/>
    </border>
    <border>
      <left style="double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vertical="center"/>
      <protection locked="0"/>
    </xf>
    <xf numFmtId="0" fontId="2" fillId="0" borderId="4" xfId="0" applyFont="1" applyBorder="1" applyAlignment="1" applyProtection="1">
      <alignment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hidden="1"/>
    </xf>
    <xf numFmtId="0" fontId="3" fillId="4" borderId="6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Protection="1">
      <protection locked="0"/>
    </xf>
    <xf numFmtId="0" fontId="2" fillId="6" borderId="5" xfId="0" applyFont="1" applyFill="1" applyBorder="1" applyAlignment="1" applyProtection="1">
      <alignment vertical="center"/>
      <protection hidden="1"/>
    </xf>
    <xf numFmtId="0" fontId="6" fillId="6" borderId="3" xfId="0" applyFont="1" applyFill="1" applyBorder="1" applyAlignment="1" applyProtection="1">
      <alignment horizontal="center" vertical="center"/>
      <protection hidden="1"/>
    </xf>
    <xf numFmtId="0" fontId="3" fillId="3" borderId="2" xfId="0" applyFont="1" applyFill="1" applyBorder="1" applyAlignment="1" applyProtection="1">
      <alignment horizontal="center" vertical="center"/>
      <protection hidden="1"/>
    </xf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164" fontId="3" fillId="3" borderId="3" xfId="0" applyNumberFormat="1" applyFont="1" applyFill="1" applyBorder="1" applyAlignment="1" applyProtection="1">
      <alignment horizontal="center" vertical="center"/>
      <protection hidden="1"/>
    </xf>
    <xf numFmtId="0" fontId="3" fillId="3" borderId="8" xfId="0" applyFont="1" applyFill="1" applyBorder="1" applyAlignment="1" applyProtection="1">
      <alignment horizontal="center"/>
      <protection hidden="1"/>
    </xf>
    <xf numFmtId="0" fontId="3" fillId="3" borderId="4" xfId="0" applyFont="1" applyFill="1" applyBorder="1" applyAlignment="1" applyProtection="1">
      <alignment horizontal="center" vertical="center"/>
      <protection hidden="1"/>
    </xf>
    <xf numFmtId="0" fontId="3" fillId="3" borderId="5" xfId="0" applyFont="1" applyFill="1" applyBorder="1" applyAlignment="1" applyProtection="1">
      <alignment horizontal="center" vertical="center"/>
      <protection hidden="1"/>
    </xf>
    <xf numFmtId="0" fontId="3" fillId="3" borderId="7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Protection="1">
      <protection hidden="1"/>
    </xf>
    <xf numFmtId="0" fontId="3" fillId="5" borderId="9" xfId="0" applyFont="1" applyFill="1" applyBorder="1" applyAlignment="1" applyProtection="1">
      <alignment vertical="center"/>
      <protection hidden="1"/>
    </xf>
    <xf numFmtId="0" fontId="3" fillId="5" borderId="10" xfId="0" applyFont="1" applyFill="1" applyBorder="1" applyAlignment="1" applyProtection="1">
      <alignment vertical="center"/>
      <protection hidden="1"/>
    </xf>
    <xf numFmtId="0" fontId="3" fillId="5" borderId="11" xfId="0" applyFont="1" applyFill="1" applyBorder="1" applyAlignment="1" applyProtection="1">
      <alignment vertical="center"/>
      <protection hidden="1"/>
    </xf>
    <xf numFmtId="0" fontId="2" fillId="0" borderId="12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2" fillId="0" borderId="13" xfId="0" applyFont="1" applyBorder="1" applyProtection="1">
      <protection hidden="1"/>
    </xf>
    <xf numFmtId="0" fontId="3" fillId="3" borderId="14" xfId="0" applyFont="1" applyFill="1" applyBorder="1" applyAlignment="1" applyProtection="1">
      <alignment horizontal="center"/>
      <protection hidden="1"/>
    </xf>
    <xf numFmtId="0" fontId="2" fillId="0" borderId="15" xfId="0" applyFont="1" applyBorder="1" applyProtection="1">
      <protection hidden="1"/>
    </xf>
    <xf numFmtId="0" fontId="2" fillId="4" borderId="0" xfId="0" applyFont="1" applyFill="1" applyBorder="1" applyProtection="1">
      <protection hidden="1"/>
    </xf>
    <xf numFmtId="0" fontId="2" fillId="0" borderId="13" xfId="0" applyFont="1" applyBorder="1" applyAlignment="1" applyProtection="1">
      <alignment horizontal="left" vertical="center"/>
      <protection hidden="1"/>
    </xf>
    <xf numFmtId="0" fontId="2" fillId="2" borderId="0" xfId="0" applyFont="1" applyFill="1" applyBorder="1" applyProtection="1">
      <protection hidden="1"/>
    </xf>
    <xf numFmtId="0" fontId="3" fillId="3" borderId="16" xfId="0" applyFont="1" applyFill="1" applyBorder="1" applyAlignment="1" applyProtection="1">
      <alignment horizontal="center" vertical="center"/>
      <protection hidden="1"/>
    </xf>
    <xf numFmtId="0" fontId="3" fillId="3" borderId="17" xfId="0" applyFont="1" applyFill="1" applyBorder="1" applyAlignment="1" applyProtection="1">
      <alignment horizontal="center" vertical="center" wrapText="1"/>
      <protection hidden="1"/>
    </xf>
    <xf numFmtId="0" fontId="3" fillId="3" borderId="18" xfId="0" applyFont="1" applyFill="1" applyBorder="1" applyAlignment="1" applyProtection="1">
      <alignment horizontal="center" vertical="center"/>
      <protection hidden="1"/>
    </xf>
    <xf numFmtId="0" fontId="3" fillId="3" borderId="19" xfId="0" applyFont="1" applyFill="1" applyBorder="1" applyAlignment="1" applyProtection="1">
      <alignment horizontal="center" vertical="center" wrapText="1"/>
      <protection hidden="1"/>
    </xf>
    <xf numFmtId="0" fontId="3" fillId="3" borderId="20" xfId="0" applyFont="1" applyFill="1" applyBorder="1" applyAlignment="1" applyProtection="1">
      <alignment horizontal="center" vertical="center"/>
      <protection hidden="1"/>
    </xf>
    <xf numFmtId="0" fontId="3" fillId="3" borderId="21" xfId="0" applyFont="1" applyFill="1" applyBorder="1" applyAlignment="1" applyProtection="1">
      <alignment horizontal="center" vertical="center" wrapText="1"/>
      <protection hidden="1"/>
    </xf>
    <xf numFmtId="0" fontId="2" fillId="0" borderId="16" xfId="0" applyFont="1" applyBorder="1" applyAlignment="1" applyProtection="1">
      <alignment vertical="center"/>
      <protection locked="0"/>
    </xf>
    <xf numFmtId="3" fontId="6" fillId="0" borderId="17" xfId="0" applyNumberFormat="1" applyFont="1" applyBorder="1" applyAlignment="1" applyProtection="1">
      <alignment vertical="center"/>
      <protection hidden="1"/>
    </xf>
    <xf numFmtId="0" fontId="2" fillId="0" borderId="18" xfId="0" applyFont="1" applyBorder="1" applyAlignment="1" applyProtection="1">
      <alignment vertical="center"/>
      <protection locked="0"/>
    </xf>
    <xf numFmtId="3" fontId="6" fillId="0" borderId="19" xfId="0" applyNumberFormat="1" applyFont="1" applyBorder="1" applyAlignment="1" applyProtection="1">
      <alignment vertical="center"/>
      <protection hidden="1"/>
    </xf>
    <xf numFmtId="0" fontId="5" fillId="6" borderId="18" xfId="0" applyFont="1" applyFill="1" applyBorder="1" applyAlignment="1" applyProtection="1">
      <alignment vertical="center"/>
      <protection hidden="1"/>
    </xf>
    <xf numFmtId="3" fontId="7" fillId="6" borderId="19" xfId="0" applyNumberFormat="1" applyFont="1" applyFill="1" applyBorder="1" applyAlignment="1" applyProtection="1">
      <alignment vertical="center"/>
      <protection hidden="1"/>
    </xf>
    <xf numFmtId="0" fontId="5" fillId="0" borderId="12" xfId="0" applyFont="1" applyBorder="1" applyProtection="1">
      <protection hidden="1"/>
    </xf>
    <xf numFmtId="0" fontId="2" fillId="0" borderId="22" xfId="0" applyFont="1" applyBorder="1" applyProtection="1">
      <protection hidden="1"/>
    </xf>
    <xf numFmtId="0" fontId="2" fillId="0" borderId="23" xfId="0" applyFont="1" applyBorder="1" applyProtection="1">
      <protection hidden="1"/>
    </xf>
    <xf numFmtId="0" fontId="2" fillId="0" borderId="24" xfId="0" applyFont="1" applyBorder="1" applyProtection="1">
      <protection hidden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D92D443-95DE-451A-A9F6-FD97FBB9A37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Y28"/>
  <sheetViews>
    <sheetView showGridLines="0" tabSelected="1"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B6" sqref="B6"/>
    </sheetView>
  </sheetViews>
  <sheetFormatPr defaultRowHeight="20.05" customHeight="1" x14ac:dyDescent="0.5"/>
  <cols>
    <col min="1" max="1" width="8.83984375" style="19"/>
    <col min="2" max="3" width="15.578125" style="19" customWidth="1"/>
    <col min="4" max="24" width="5.578125" style="19" customWidth="1"/>
    <col min="25" max="25" width="20.578125" style="19" customWidth="1"/>
    <col min="26" max="16384" width="8.83984375" style="19"/>
  </cols>
  <sheetData>
    <row r="1" spans="2:25" ht="20.05" customHeight="1" thickBot="1" x14ac:dyDescent="0.55000000000000004"/>
    <row r="2" spans="2:25" ht="20.05" customHeight="1" thickTop="1" x14ac:dyDescent="0.5">
      <c r="B2" s="20" t="s">
        <v>36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2"/>
    </row>
    <row r="3" spans="2:25" ht="20.05" customHeight="1" x14ac:dyDescent="0.5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5"/>
    </row>
    <row r="4" spans="2:25" ht="20.05" customHeight="1" x14ac:dyDescent="0.5">
      <c r="B4" s="26" t="s">
        <v>0</v>
      </c>
      <c r="C4" s="15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5"/>
    </row>
    <row r="5" spans="2:25" ht="20.05" customHeight="1" x14ac:dyDescent="0.5">
      <c r="B5" s="27" t="s">
        <v>32</v>
      </c>
      <c r="C5" s="9">
        <v>180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8"/>
      <c r="Y5" s="29" t="s">
        <v>34</v>
      </c>
    </row>
    <row r="6" spans="2:25" ht="20.05" customHeight="1" x14ac:dyDescent="0.5">
      <c r="B6" s="27" t="s">
        <v>2</v>
      </c>
      <c r="C6" s="9">
        <v>50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30"/>
      <c r="Y6" s="29" t="s">
        <v>35</v>
      </c>
    </row>
    <row r="7" spans="2:25" ht="20.05" customHeight="1" x14ac:dyDescent="0.5">
      <c r="B7" s="23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5"/>
    </row>
    <row r="8" spans="2:25" ht="20.05" customHeight="1" x14ac:dyDescent="0.5">
      <c r="B8" s="31" t="s">
        <v>15</v>
      </c>
      <c r="C8" s="16" t="s">
        <v>33</v>
      </c>
      <c r="D8" s="12" t="s">
        <v>3</v>
      </c>
      <c r="E8" s="12"/>
      <c r="F8" s="12"/>
      <c r="G8" s="12" t="s">
        <v>4</v>
      </c>
      <c r="H8" s="12"/>
      <c r="I8" s="12"/>
      <c r="J8" s="12" t="s">
        <v>5</v>
      </c>
      <c r="K8" s="12"/>
      <c r="L8" s="12"/>
      <c r="M8" s="12" t="s">
        <v>6</v>
      </c>
      <c r="N8" s="12"/>
      <c r="O8" s="12"/>
      <c r="P8" s="12" t="s">
        <v>7</v>
      </c>
      <c r="Q8" s="12"/>
      <c r="R8" s="12"/>
      <c r="S8" s="12" t="s">
        <v>8</v>
      </c>
      <c r="T8" s="12"/>
      <c r="U8" s="12"/>
      <c r="V8" s="12" t="s">
        <v>9</v>
      </c>
      <c r="W8" s="12"/>
      <c r="X8" s="12"/>
      <c r="Y8" s="32" t="s">
        <v>31</v>
      </c>
    </row>
    <row r="9" spans="2:25" ht="20.05" customHeight="1" x14ac:dyDescent="0.5">
      <c r="B9" s="33"/>
      <c r="C9" s="17"/>
      <c r="D9" s="13">
        <v>44662</v>
      </c>
      <c r="E9" s="13"/>
      <c r="F9" s="13"/>
      <c r="G9" s="14">
        <f>D9+1</f>
        <v>44663</v>
      </c>
      <c r="H9" s="14"/>
      <c r="I9" s="14"/>
      <c r="J9" s="14">
        <f t="shared" ref="J9" si="0">G9+1</f>
        <v>44664</v>
      </c>
      <c r="K9" s="14"/>
      <c r="L9" s="14"/>
      <c r="M9" s="14">
        <f t="shared" ref="M9" si="1">J9+1</f>
        <v>44665</v>
      </c>
      <c r="N9" s="14"/>
      <c r="O9" s="14"/>
      <c r="P9" s="14">
        <f t="shared" ref="P9" si="2">M9+1</f>
        <v>44666</v>
      </c>
      <c r="Q9" s="14"/>
      <c r="R9" s="14"/>
      <c r="S9" s="14">
        <f t="shared" ref="S9" si="3">P9+1</f>
        <v>44667</v>
      </c>
      <c r="T9" s="14"/>
      <c r="U9" s="14"/>
      <c r="V9" s="14">
        <f t="shared" ref="V9" si="4">S9+1</f>
        <v>44668</v>
      </c>
      <c r="W9" s="14"/>
      <c r="X9" s="14"/>
      <c r="Y9" s="34"/>
    </row>
    <row r="10" spans="2:25" ht="20.05" customHeight="1" thickBot="1" x14ac:dyDescent="0.55000000000000004">
      <c r="B10" s="35"/>
      <c r="C10" s="18"/>
      <c r="D10" s="7" t="s">
        <v>10</v>
      </c>
      <c r="E10" s="7" t="s">
        <v>11</v>
      </c>
      <c r="F10" s="7" t="s">
        <v>12</v>
      </c>
      <c r="G10" s="7" t="s">
        <v>10</v>
      </c>
      <c r="H10" s="7" t="s">
        <v>11</v>
      </c>
      <c r="I10" s="8" t="s">
        <v>12</v>
      </c>
      <c r="J10" s="7" t="s">
        <v>10</v>
      </c>
      <c r="K10" s="7" t="s">
        <v>11</v>
      </c>
      <c r="L10" s="8" t="s">
        <v>12</v>
      </c>
      <c r="M10" s="7" t="s">
        <v>10</v>
      </c>
      <c r="N10" s="7" t="s">
        <v>11</v>
      </c>
      <c r="O10" s="8" t="s">
        <v>12</v>
      </c>
      <c r="P10" s="7" t="s">
        <v>10</v>
      </c>
      <c r="Q10" s="7" t="s">
        <v>11</v>
      </c>
      <c r="R10" s="7" t="s">
        <v>12</v>
      </c>
      <c r="S10" s="8" t="s">
        <v>10</v>
      </c>
      <c r="T10" s="8" t="s">
        <v>11</v>
      </c>
      <c r="U10" s="7" t="s">
        <v>12</v>
      </c>
      <c r="V10" s="8" t="s">
        <v>10</v>
      </c>
      <c r="W10" s="8" t="s">
        <v>11</v>
      </c>
      <c r="X10" s="7" t="s">
        <v>12</v>
      </c>
      <c r="Y10" s="36"/>
    </row>
    <row r="11" spans="2:25" ht="20.05" customHeight="1" thickTop="1" x14ac:dyDescent="0.5">
      <c r="B11" s="37" t="s">
        <v>23</v>
      </c>
      <c r="C11" s="4" t="s">
        <v>2</v>
      </c>
      <c r="D11" s="5">
        <v>2</v>
      </c>
      <c r="E11" s="5"/>
      <c r="F11" s="5">
        <v>1</v>
      </c>
      <c r="G11" s="5">
        <v>1</v>
      </c>
      <c r="H11" s="5"/>
      <c r="I11" s="6"/>
      <c r="J11" s="5">
        <v>1</v>
      </c>
      <c r="K11" s="5"/>
      <c r="L11" s="6"/>
      <c r="M11" s="5"/>
      <c r="N11" s="5"/>
      <c r="O11" s="6"/>
      <c r="P11" s="5"/>
      <c r="Q11" s="5"/>
      <c r="R11" s="5"/>
      <c r="S11" s="6"/>
      <c r="T11" s="6"/>
      <c r="U11" s="5"/>
      <c r="V11" s="6"/>
      <c r="W11" s="6"/>
      <c r="X11" s="5"/>
      <c r="Y11" s="38">
        <f>_xlfn.IFNA((VALUE(VLOOKUP(C11,$B$5:$C$6,2,FALSE))*((SUMIFS(D11:X11,$D$10:$X$10,"C")*10)+(SUMIFS(D11:X11,$D$10:$X$10,"A")*8)+(SUMIFS(D11:X11,$D$10:$X$10,"B")*8))),0)</f>
        <v>2100</v>
      </c>
    </row>
    <row r="12" spans="2:25" ht="20.05" customHeight="1" x14ac:dyDescent="0.5">
      <c r="B12" s="39" t="s">
        <v>24</v>
      </c>
      <c r="C12" s="3" t="s">
        <v>2</v>
      </c>
      <c r="D12" s="1">
        <v>4</v>
      </c>
      <c r="E12" s="1"/>
      <c r="F12" s="1">
        <v>1</v>
      </c>
      <c r="G12" s="1">
        <v>4</v>
      </c>
      <c r="H12" s="1"/>
      <c r="I12" s="2"/>
      <c r="J12" s="1">
        <v>4</v>
      </c>
      <c r="K12" s="1"/>
      <c r="L12" s="2"/>
      <c r="M12" s="1">
        <v>4</v>
      </c>
      <c r="N12" s="1"/>
      <c r="O12" s="2"/>
      <c r="P12" s="1">
        <v>4</v>
      </c>
      <c r="Q12" s="1"/>
      <c r="R12" s="1">
        <v>3</v>
      </c>
      <c r="S12" s="2"/>
      <c r="T12" s="2"/>
      <c r="U12" s="1"/>
      <c r="V12" s="2"/>
      <c r="W12" s="2"/>
      <c r="X12" s="1"/>
      <c r="Y12" s="40">
        <f>_xlfn.IFNA((VALUE(VLOOKUP(C12,$B$5:$C$6,2,FALSE))*((SUMIFS(D12:X12,$D$10:$X$10,"C")*10)+(SUMIFS(D12:X12,$D$10:$X$10,"A")*8)+(SUMIFS(D12:X12,$D$10:$X$10,"B")*8))),0)</f>
        <v>10000</v>
      </c>
    </row>
    <row r="13" spans="2:25" ht="20.05" customHeight="1" x14ac:dyDescent="0.5">
      <c r="B13" s="39" t="s">
        <v>13</v>
      </c>
      <c r="C13" s="3" t="s">
        <v>2</v>
      </c>
      <c r="D13" s="1">
        <v>2</v>
      </c>
      <c r="E13" s="1"/>
      <c r="F13" s="1">
        <v>1</v>
      </c>
      <c r="G13" s="1">
        <v>1</v>
      </c>
      <c r="H13" s="1"/>
      <c r="I13" s="2"/>
      <c r="J13" s="1">
        <v>1</v>
      </c>
      <c r="K13" s="1"/>
      <c r="L13" s="2"/>
      <c r="M13" s="1">
        <v>1</v>
      </c>
      <c r="N13" s="1"/>
      <c r="O13" s="2"/>
      <c r="P13" s="1">
        <v>1</v>
      </c>
      <c r="Q13" s="1"/>
      <c r="R13" s="1">
        <v>1</v>
      </c>
      <c r="S13" s="2"/>
      <c r="T13" s="2"/>
      <c r="U13" s="1">
        <v>1</v>
      </c>
      <c r="V13" s="2"/>
      <c r="W13" s="2"/>
      <c r="X13" s="1">
        <v>2</v>
      </c>
      <c r="Y13" s="40">
        <f t="shared" ref="Y13:Y15" si="5">_xlfn.IFNA((VALUE(VLOOKUP(C13,$B$5:$C$6,2,FALSE))*((SUMIFS(D13:X13,$D$10:$X$10,"C")*10)+(SUMIFS(D13:X13,$D$10:$X$10,"A")*8)+(SUMIFS(D13:X13,$D$10:$X$10,"B")*8))),0)</f>
        <v>4900</v>
      </c>
    </row>
    <row r="14" spans="2:25" ht="20.05" customHeight="1" x14ac:dyDescent="0.5">
      <c r="B14" s="39" t="s">
        <v>1</v>
      </c>
      <c r="C14" s="3" t="s">
        <v>32</v>
      </c>
      <c r="D14" s="1">
        <v>2</v>
      </c>
      <c r="E14" s="1">
        <v>10</v>
      </c>
      <c r="F14" s="1">
        <v>1</v>
      </c>
      <c r="G14" s="1">
        <v>3</v>
      </c>
      <c r="H14" s="1">
        <v>10</v>
      </c>
      <c r="I14" s="2"/>
      <c r="J14" s="1">
        <v>3</v>
      </c>
      <c r="K14" s="1">
        <v>10</v>
      </c>
      <c r="L14" s="2"/>
      <c r="M14" s="1">
        <v>4</v>
      </c>
      <c r="N14" s="1">
        <v>10</v>
      </c>
      <c r="O14" s="2"/>
      <c r="P14" s="1">
        <v>4</v>
      </c>
      <c r="Q14" s="1">
        <v>10</v>
      </c>
      <c r="R14" s="1">
        <v>1</v>
      </c>
      <c r="S14" s="2"/>
      <c r="T14" s="2"/>
      <c r="U14" s="1"/>
      <c r="V14" s="2"/>
      <c r="W14" s="2"/>
      <c r="X14" s="1"/>
      <c r="Y14" s="40">
        <f t="shared" si="5"/>
        <v>98640</v>
      </c>
    </row>
    <row r="15" spans="2:25" ht="20.05" customHeight="1" x14ac:dyDescent="0.5">
      <c r="B15" s="39" t="s">
        <v>14</v>
      </c>
      <c r="C15" s="3" t="s">
        <v>32</v>
      </c>
      <c r="D15" s="1">
        <v>1</v>
      </c>
      <c r="E15" s="1"/>
      <c r="F15" s="1"/>
      <c r="G15" s="1">
        <v>1</v>
      </c>
      <c r="H15" s="1"/>
      <c r="I15" s="2"/>
      <c r="J15" s="1">
        <v>1</v>
      </c>
      <c r="K15" s="1"/>
      <c r="L15" s="2"/>
      <c r="M15" s="1">
        <v>1</v>
      </c>
      <c r="N15" s="1"/>
      <c r="O15" s="2"/>
      <c r="P15" s="1">
        <v>1</v>
      </c>
      <c r="Q15" s="1"/>
      <c r="R15" s="1"/>
      <c r="S15" s="2"/>
      <c r="T15" s="2"/>
      <c r="U15" s="1">
        <v>1</v>
      </c>
      <c r="V15" s="2"/>
      <c r="W15" s="2"/>
      <c r="X15" s="1"/>
      <c r="Y15" s="40">
        <f t="shared" si="5"/>
        <v>9000</v>
      </c>
    </row>
    <row r="16" spans="2:25" ht="20.05" customHeight="1" x14ac:dyDescent="0.5">
      <c r="B16" s="39" t="s">
        <v>16</v>
      </c>
      <c r="C16" s="3" t="s">
        <v>32</v>
      </c>
      <c r="D16" s="1"/>
      <c r="E16" s="1"/>
      <c r="F16" s="1">
        <v>1</v>
      </c>
      <c r="G16" s="1">
        <v>1</v>
      </c>
      <c r="H16" s="1"/>
      <c r="I16" s="2"/>
      <c r="J16" s="1">
        <v>1</v>
      </c>
      <c r="K16" s="1"/>
      <c r="L16" s="2"/>
      <c r="M16" s="1">
        <v>1</v>
      </c>
      <c r="N16" s="1"/>
      <c r="O16" s="2"/>
      <c r="P16" s="1">
        <v>1</v>
      </c>
      <c r="Q16" s="1"/>
      <c r="R16" s="1"/>
      <c r="S16" s="2"/>
      <c r="T16" s="2"/>
      <c r="U16" s="1">
        <v>3</v>
      </c>
      <c r="V16" s="2"/>
      <c r="W16" s="2"/>
      <c r="X16" s="1">
        <v>3</v>
      </c>
      <c r="Y16" s="40">
        <f>_xlfn.IFNA((VALUE(VLOOKUP(C16,$B$5:$C$6,2,FALSE))*((SUMIFS(D16:X16,$D$10:$X$10,"C")*10)+(SUMIFS(D16:X16,$D$10:$X$10,"A")*8)+(SUMIFS(D16:X16,$D$10:$X$10,"B")*8))),0)</f>
        <v>18360</v>
      </c>
    </row>
    <row r="17" spans="2:25" ht="20.05" customHeight="1" x14ac:dyDescent="0.5">
      <c r="B17" s="39"/>
      <c r="C17" s="3"/>
      <c r="D17" s="1"/>
      <c r="E17" s="1"/>
      <c r="F17" s="1"/>
      <c r="G17" s="1"/>
      <c r="H17" s="1"/>
      <c r="I17" s="2"/>
      <c r="J17" s="1"/>
      <c r="K17" s="1"/>
      <c r="L17" s="2"/>
      <c r="M17" s="1"/>
      <c r="N17" s="1"/>
      <c r="O17" s="2"/>
      <c r="P17" s="1"/>
      <c r="Q17" s="1"/>
      <c r="R17" s="1"/>
      <c r="S17" s="2"/>
      <c r="T17" s="2"/>
      <c r="U17" s="1"/>
      <c r="V17" s="2"/>
      <c r="W17" s="2"/>
      <c r="X17" s="1"/>
      <c r="Y17" s="40">
        <f>_xlfn.IFNA((VALUE(VLOOKUP(C17,$B$5:$C$6,2,FALSE))*((SUMIFS(D17:X17,$D$10:$X$10,"C")*10)+(SUMIFS(D17:X17,$D$10:$X$10,"A")*8)+(SUMIFS(D17:X17,$D$10:$X$10,"B")*8))),0)</f>
        <v>0</v>
      </c>
    </row>
    <row r="18" spans="2:25" ht="20.05" customHeight="1" x14ac:dyDescent="0.5">
      <c r="B18" s="39"/>
      <c r="C18" s="3"/>
      <c r="D18" s="1"/>
      <c r="E18" s="1"/>
      <c r="F18" s="1"/>
      <c r="G18" s="1"/>
      <c r="H18" s="1"/>
      <c r="I18" s="2"/>
      <c r="J18" s="1"/>
      <c r="K18" s="1"/>
      <c r="L18" s="2"/>
      <c r="M18" s="1"/>
      <c r="N18" s="1"/>
      <c r="O18" s="2"/>
      <c r="P18" s="1"/>
      <c r="Q18" s="1"/>
      <c r="R18" s="1"/>
      <c r="S18" s="2"/>
      <c r="T18" s="2"/>
      <c r="U18" s="1"/>
      <c r="V18" s="2"/>
      <c r="W18" s="2"/>
      <c r="X18" s="1"/>
      <c r="Y18" s="40">
        <f>_xlfn.IFNA((VALUE(VLOOKUP(C18,$B$5:$C$6,2,FALSE))*((SUMIFS(D18:X18,$D$10:$X$10,"C")*10)+(SUMIFS(D18:X18,$D$10:$X$10,"A")*8)+(SUMIFS(D18:X18,$D$10:$X$10,"B")*8))),0)</f>
        <v>0</v>
      </c>
    </row>
    <row r="19" spans="2:25" ht="20.05" customHeight="1" x14ac:dyDescent="0.5">
      <c r="B19" s="39"/>
      <c r="C19" s="3"/>
      <c r="D19" s="1"/>
      <c r="E19" s="1"/>
      <c r="F19" s="1"/>
      <c r="G19" s="1"/>
      <c r="H19" s="1"/>
      <c r="I19" s="2"/>
      <c r="J19" s="1"/>
      <c r="K19" s="1"/>
      <c r="L19" s="2"/>
      <c r="M19" s="1"/>
      <c r="N19" s="1"/>
      <c r="O19" s="2"/>
      <c r="P19" s="1"/>
      <c r="Q19" s="1"/>
      <c r="R19" s="1"/>
      <c r="S19" s="2"/>
      <c r="T19" s="2"/>
      <c r="U19" s="1"/>
      <c r="V19" s="2"/>
      <c r="W19" s="2"/>
      <c r="X19" s="1"/>
      <c r="Y19" s="40">
        <f>_xlfn.IFNA((VALUE(VLOOKUP(C19,$B$5:$C$6,2,FALSE))*((SUMIFS(D19:X19,$D$10:$X$10,"C")*10)+(SUMIFS(D19:X19,$D$10:$X$10,"A")*8)+(SUMIFS(D19:X19,$D$10:$X$10,"B")*8))),0)</f>
        <v>0</v>
      </c>
    </row>
    <row r="20" spans="2:25" ht="20.05" customHeight="1" x14ac:dyDescent="0.5">
      <c r="B20" s="39"/>
      <c r="C20" s="3"/>
      <c r="D20" s="1"/>
      <c r="E20" s="1"/>
      <c r="F20" s="1"/>
      <c r="G20" s="1"/>
      <c r="H20" s="1"/>
      <c r="I20" s="2"/>
      <c r="J20" s="1"/>
      <c r="K20" s="1"/>
      <c r="L20" s="2"/>
      <c r="M20" s="1"/>
      <c r="N20" s="1"/>
      <c r="O20" s="2"/>
      <c r="P20" s="1"/>
      <c r="Q20" s="1"/>
      <c r="R20" s="1"/>
      <c r="S20" s="2"/>
      <c r="T20" s="2"/>
      <c r="U20" s="1"/>
      <c r="V20" s="2"/>
      <c r="W20" s="2"/>
      <c r="X20" s="1"/>
      <c r="Y20" s="40">
        <f>_xlfn.IFNA((VALUE(VLOOKUP(C20,$B$5:$C$6,2,FALSE))*((SUMIFS(D20:X20,$D$10:$X$10,"C")*10)+(SUMIFS(D20:X20,$D$10:$X$10,"A")*8)+(SUMIFS(D20:X20,$D$10:$X$10,"B")*8))),0)</f>
        <v>0</v>
      </c>
    </row>
    <row r="21" spans="2:25" ht="20.05" customHeight="1" x14ac:dyDescent="0.5">
      <c r="B21" s="41" t="s">
        <v>30</v>
      </c>
      <c r="C21" s="10"/>
      <c r="D21" s="11">
        <f t="shared" ref="D21:X21" si="6">SUM(D11:D19)</f>
        <v>11</v>
      </c>
      <c r="E21" s="11">
        <f t="shared" si="6"/>
        <v>10</v>
      </c>
      <c r="F21" s="11">
        <f t="shared" si="6"/>
        <v>5</v>
      </c>
      <c r="G21" s="11">
        <f t="shared" si="6"/>
        <v>11</v>
      </c>
      <c r="H21" s="11">
        <f t="shared" si="6"/>
        <v>10</v>
      </c>
      <c r="I21" s="11">
        <f t="shared" si="6"/>
        <v>0</v>
      </c>
      <c r="J21" s="11">
        <f t="shared" si="6"/>
        <v>11</v>
      </c>
      <c r="K21" s="11">
        <f t="shared" si="6"/>
        <v>10</v>
      </c>
      <c r="L21" s="11">
        <f t="shared" si="6"/>
        <v>0</v>
      </c>
      <c r="M21" s="11">
        <f t="shared" si="6"/>
        <v>11</v>
      </c>
      <c r="N21" s="11">
        <f t="shared" si="6"/>
        <v>10</v>
      </c>
      <c r="O21" s="11">
        <f t="shared" si="6"/>
        <v>0</v>
      </c>
      <c r="P21" s="11">
        <f t="shared" si="6"/>
        <v>11</v>
      </c>
      <c r="Q21" s="11">
        <f t="shared" si="6"/>
        <v>10</v>
      </c>
      <c r="R21" s="11">
        <f t="shared" si="6"/>
        <v>5</v>
      </c>
      <c r="S21" s="11">
        <f t="shared" si="6"/>
        <v>0</v>
      </c>
      <c r="T21" s="11">
        <f t="shared" si="6"/>
        <v>0</v>
      </c>
      <c r="U21" s="11">
        <f t="shared" si="6"/>
        <v>5</v>
      </c>
      <c r="V21" s="11">
        <f t="shared" si="6"/>
        <v>0</v>
      </c>
      <c r="W21" s="11">
        <f t="shared" si="6"/>
        <v>0</v>
      </c>
      <c r="X21" s="11">
        <f t="shared" si="6"/>
        <v>5</v>
      </c>
      <c r="Y21" s="42">
        <f t="shared" ref="Y21" si="7">SUM(Y11:Y20)</f>
        <v>143000</v>
      </c>
    </row>
    <row r="22" spans="2:25" ht="20.05" customHeight="1" x14ac:dyDescent="0.5"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5"/>
    </row>
    <row r="23" spans="2:25" ht="20.05" customHeight="1" x14ac:dyDescent="0.5">
      <c r="B23" s="43" t="s">
        <v>29</v>
      </c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5"/>
    </row>
    <row r="24" spans="2:25" ht="20.05" customHeight="1" x14ac:dyDescent="0.5">
      <c r="B24" s="23" t="s">
        <v>17</v>
      </c>
      <c r="C24" s="24" t="s">
        <v>18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5"/>
    </row>
    <row r="25" spans="2:25" ht="20.05" customHeight="1" x14ac:dyDescent="0.5">
      <c r="B25" s="23" t="s">
        <v>19</v>
      </c>
      <c r="C25" s="24" t="s">
        <v>20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5"/>
    </row>
    <row r="26" spans="2:25" ht="20.05" customHeight="1" x14ac:dyDescent="0.5">
      <c r="B26" s="23" t="s">
        <v>21</v>
      </c>
      <c r="C26" s="24" t="s">
        <v>22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5"/>
    </row>
    <row r="27" spans="2:25" ht="20.05" customHeight="1" x14ac:dyDescent="0.5">
      <c r="B27" s="23" t="s">
        <v>25</v>
      </c>
      <c r="C27" s="24" t="s">
        <v>26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5"/>
    </row>
    <row r="28" spans="2:25" ht="20.05" customHeight="1" thickBot="1" x14ac:dyDescent="0.55000000000000004">
      <c r="B28" s="44" t="s">
        <v>27</v>
      </c>
      <c r="C28" s="45" t="s">
        <v>28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6"/>
    </row>
  </sheetData>
  <sheetProtection algorithmName="SHA-512" hashValue="SWqXiQbzTeppuMEUhhqz1GuclHbRyFtJdoPNB2axT0b+zfV/eJhgJm3ctkUC886RMH6fP+AvfQ6qI/d25cajCg==" saltValue="37wzidFygw1kboG/xKBglA==" spinCount="100000" sheet="1" objects="1" scenarios="1"/>
  <mergeCells count="19">
    <mergeCell ref="C8:C10"/>
    <mergeCell ref="D8:F8"/>
    <mergeCell ref="G8:I8"/>
    <mergeCell ref="B2:Y2"/>
    <mergeCell ref="J8:L8"/>
    <mergeCell ref="M8:O8"/>
    <mergeCell ref="D9:F9"/>
    <mergeCell ref="Y8:Y10"/>
    <mergeCell ref="G9:I9"/>
    <mergeCell ref="J9:L9"/>
    <mergeCell ref="M9:O9"/>
    <mergeCell ref="P9:R9"/>
    <mergeCell ref="S9:U9"/>
    <mergeCell ref="V9:X9"/>
    <mergeCell ref="P8:R8"/>
    <mergeCell ref="S8:U8"/>
    <mergeCell ref="V8:X8"/>
    <mergeCell ref="B4:C4"/>
    <mergeCell ref="B8:B10"/>
  </mergeCells>
  <phoneticPr fontId="1" type="noConversion"/>
  <dataValidations count="1">
    <dataValidation type="list" allowBlank="1" showInputMessage="1" showErrorMessage="1" sqref="C11:C20" xr:uid="{6D291548-6EC2-4AF6-BDF7-CF04B9C558AF}">
      <formula1>$B$5:$B$6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mohaimin</dc:creator>
  <cp:lastModifiedBy>Md Mohaimin Ahmed</cp:lastModifiedBy>
  <dcterms:created xsi:type="dcterms:W3CDTF">2015-06-05T18:17:20Z</dcterms:created>
  <dcterms:modified xsi:type="dcterms:W3CDTF">2022-04-10T02:59:50Z</dcterms:modified>
</cp:coreProperties>
</file>